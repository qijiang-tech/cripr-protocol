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qijiang_stanford_edu/Documents/Projects/CRISPR Review/Colab Code/"/>
    </mc:Choice>
  </mc:AlternateContent>
  <xr:revisionPtr revIDLastSave="30" documentId="13_ncr:1_{FA4AECB7-6A9F-43A4-9471-DC0F6A77C306}" xr6:coauthVersionLast="47" xr6:coauthVersionMax="47" xr10:uidLastSave="{8250EDC1-5487-4A98-A4AD-E2517173B991}"/>
  <bookViews>
    <workbookView xWindow="15830" yWindow="2880" windowWidth="21100" windowHeight="16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4" i="1" l="1"/>
  <c r="W54" i="1"/>
  <c r="U54" i="1"/>
  <c r="S54" i="1"/>
  <c r="T54" i="1"/>
  <c r="R54" i="1"/>
  <c r="P54" i="1"/>
  <c r="Q54" i="1"/>
  <c r="O54" i="1"/>
  <c r="M54" i="1"/>
  <c r="N54" i="1"/>
  <c r="L54" i="1"/>
</calcChain>
</file>

<file path=xl/sharedStrings.xml><?xml version="1.0" encoding="utf-8"?>
<sst xmlns="http://schemas.openxmlformats.org/spreadsheetml/2006/main" count="23" uniqueCount="23">
  <si>
    <t>Time [s]</t>
  </si>
  <si>
    <t>D6</t>
  </si>
  <si>
    <t>D7</t>
  </si>
  <si>
    <t>D8</t>
  </si>
  <si>
    <t>F6</t>
  </si>
  <si>
    <t>F7</t>
  </si>
  <si>
    <t>F8</t>
  </si>
  <si>
    <t>H6</t>
  </si>
  <si>
    <t>H7</t>
  </si>
  <si>
    <t>H8</t>
  </si>
  <si>
    <t>J6</t>
  </si>
  <si>
    <t>J7</t>
  </si>
  <si>
    <t>J8</t>
  </si>
  <si>
    <t>L6</t>
  </si>
  <si>
    <t>L7</t>
  </si>
  <si>
    <t>L8</t>
  </si>
  <si>
    <t>N6</t>
  </si>
  <si>
    <t>N7</t>
  </si>
  <si>
    <t>N8</t>
  </si>
  <si>
    <t>P6</t>
  </si>
  <si>
    <t>P7</t>
  </si>
  <si>
    <t>P8</t>
  </si>
  <si>
    <t>Substrate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</si>
</sst>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"/>
  <sheetViews>
    <sheetView tabSelected="1" zoomScale="85" zoomScaleNormal="85" workbookViewId="0">
      <selection activeCell="C56" sqref="C56"/>
    </sheetView>
  </sheetViews>
  <sheetFormatPr defaultRowHeight="14.5" x14ac:dyDescent="0.35"/>
  <sheetData>
    <row r="1" spans="1:2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s="1">
        <v>0</v>
      </c>
      <c r="B2">
        <v>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5">
      <c r="A3" s="1">
        <v>1</v>
      </c>
      <c r="B3">
        <v>84</v>
      </c>
      <c r="C3">
        <v>16.325281877800752</v>
      </c>
      <c r="D3">
        <v>17.120863109301091</v>
      </c>
      <c r="E3">
        <v>17.082172714546129</v>
      </c>
      <c r="F3">
        <v>9.9924202532056334</v>
      </c>
      <c r="G3">
        <v>10.86669878682974</v>
      </c>
      <c r="H3">
        <v>9.4707983279851646</v>
      </c>
      <c r="I3">
        <v>5.2808103732988592</v>
      </c>
      <c r="J3">
        <v>5.3084527599769746</v>
      </c>
      <c r="K3">
        <v>5.0528159167510047</v>
      </c>
      <c r="L3">
        <v>2.0719171622151689</v>
      </c>
      <c r="M3">
        <v>1.9101869679868131</v>
      </c>
      <c r="N3">
        <v>2.1765114322911199</v>
      </c>
      <c r="O3">
        <v>0.98213558330383011</v>
      </c>
      <c r="P3">
        <v>0.91224746154163339</v>
      </c>
      <c r="Q3">
        <v>0.93654206858329481</v>
      </c>
      <c r="R3">
        <v>0.48181039591905961</v>
      </c>
      <c r="S3">
        <v>0.42732650628016611</v>
      </c>
      <c r="T3">
        <v>0.45668940213648812</v>
      </c>
      <c r="U3">
        <v>0.2227012311262134</v>
      </c>
      <c r="V3">
        <v>0.13169859637419271</v>
      </c>
      <c r="W3">
        <v>0.2294993260453855</v>
      </c>
    </row>
    <row r="4" spans="1:23" x14ac:dyDescent="0.35">
      <c r="A4" s="1">
        <v>2</v>
      </c>
      <c r="B4">
        <v>126</v>
      </c>
      <c r="C4">
        <v>32.630762524586437</v>
      </c>
      <c r="D4">
        <v>34.140484777494663</v>
      </c>
      <c r="E4">
        <v>34.188946364664488</v>
      </c>
      <c r="F4">
        <v>19.757332062308709</v>
      </c>
      <c r="G4">
        <v>21.20392036963695</v>
      </c>
      <c r="H4">
        <v>19.034315329316449</v>
      </c>
      <c r="I4">
        <v>10.489289563464959</v>
      </c>
      <c r="J4">
        <v>10.39507552269191</v>
      </c>
      <c r="K4">
        <v>9.7585699925672547</v>
      </c>
      <c r="L4">
        <v>4.1213222569956871</v>
      </c>
      <c r="M4">
        <v>3.7549533629498679</v>
      </c>
      <c r="N4">
        <v>4.1250656394654914</v>
      </c>
      <c r="O4">
        <v>1.7993236808380011</v>
      </c>
      <c r="P4">
        <v>1.736364499705018</v>
      </c>
      <c r="Q4">
        <v>1.8181279421391789</v>
      </c>
      <c r="R4">
        <v>0.93550538269212202</v>
      </c>
      <c r="S4">
        <v>0.87087433201687681</v>
      </c>
      <c r="T4">
        <v>0.88907931765477055</v>
      </c>
      <c r="U4">
        <v>0.47991814353323758</v>
      </c>
      <c r="V4">
        <v>0.40838787165776919</v>
      </c>
      <c r="W4">
        <v>0.51543178363334219</v>
      </c>
    </row>
    <row r="5" spans="1:23" x14ac:dyDescent="0.35">
      <c r="A5" s="1">
        <v>3</v>
      </c>
      <c r="B5">
        <v>168</v>
      </c>
      <c r="C5">
        <v>48.348242589003867</v>
      </c>
      <c r="D5">
        <v>50.58909281737705</v>
      </c>
      <c r="E5">
        <v>51.034902510613733</v>
      </c>
      <c r="F5">
        <v>29.472667235716749</v>
      </c>
      <c r="G5">
        <v>31.365047225924719</v>
      </c>
      <c r="H5">
        <v>28.112738359371772</v>
      </c>
      <c r="I5">
        <v>15.353921955875901</v>
      </c>
      <c r="J5">
        <v>15.14325320617148</v>
      </c>
      <c r="K5">
        <v>14.35903300536766</v>
      </c>
      <c r="L5">
        <v>6.0429413616641687</v>
      </c>
      <c r="M5">
        <v>5.4247147010828849</v>
      </c>
      <c r="N5">
        <v>6.0356202429985446</v>
      </c>
      <c r="O5">
        <v>2.5577587030379312</v>
      </c>
      <c r="P5">
        <v>2.4151665684490942</v>
      </c>
      <c r="Q5">
        <v>2.5350566629664928</v>
      </c>
      <c r="R5">
        <v>1.297170996562695</v>
      </c>
      <c r="S5">
        <v>1.1523470527293529</v>
      </c>
      <c r="T5">
        <v>1.333299452716026</v>
      </c>
      <c r="U5">
        <v>0.69916129535869964</v>
      </c>
      <c r="V5">
        <v>0.65350353454320365</v>
      </c>
      <c r="W5">
        <v>0.76741508901352595</v>
      </c>
    </row>
    <row r="6" spans="1:23" x14ac:dyDescent="0.35">
      <c r="A6" s="1">
        <v>4</v>
      </c>
      <c r="B6">
        <v>210</v>
      </c>
      <c r="C6">
        <v>64.708296247051834</v>
      </c>
      <c r="D6">
        <v>67.483525400142014</v>
      </c>
      <c r="E6">
        <v>68.17499261515222</v>
      </c>
      <c r="F6">
        <v>39.24026762172209</v>
      </c>
      <c r="G6">
        <v>41.465634621805179</v>
      </c>
      <c r="H6">
        <v>37.341927677320427</v>
      </c>
      <c r="I6">
        <v>20.303584748816281</v>
      </c>
      <c r="J6">
        <v>20.080533158618088</v>
      </c>
      <c r="K6">
        <v>19.061128183440371</v>
      </c>
      <c r="L6">
        <v>7.985413641182368</v>
      </c>
      <c r="M6">
        <v>7.1161781669239188</v>
      </c>
      <c r="N6">
        <v>7.969412958257851</v>
      </c>
      <c r="O6">
        <v>3.3955098193687259</v>
      </c>
      <c r="P6">
        <v>3.2176954521176389</v>
      </c>
      <c r="Q6">
        <v>3.3289719074915838</v>
      </c>
      <c r="R6">
        <v>1.668610525699356</v>
      </c>
      <c r="S6">
        <v>1.555687946473963</v>
      </c>
      <c r="T6">
        <v>1.6618554278360771</v>
      </c>
      <c r="U6">
        <v>0.91443377808029414</v>
      </c>
      <c r="V6">
        <v>0.86469078628267526</v>
      </c>
      <c r="W6">
        <v>0.92098315759195737</v>
      </c>
    </row>
    <row r="7" spans="1:23" x14ac:dyDescent="0.35">
      <c r="A7" s="1">
        <v>5</v>
      </c>
      <c r="B7">
        <v>251.99999999999989</v>
      </c>
      <c r="C7">
        <v>80.274650074147502</v>
      </c>
      <c r="D7">
        <v>84.063747523423629</v>
      </c>
      <c r="E7">
        <v>84.618278359701705</v>
      </c>
      <c r="F7">
        <v>48.637271196921198</v>
      </c>
      <c r="G7">
        <v>51.162896719983337</v>
      </c>
      <c r="H7">
        <v>46.109160238550793</v>
      </c>
      <c r="I7">
        <v>24.854883487477149</v>
      </c>
      <c r="J7">
        <v>24.569029089195531</v>
      </c>
      <c r="K7">
        <v>23.408829326724319</v>
      </c>
      <c r="L7">
        <v>9.742879848030551</v>
      </c>
      <c r="M7">
        <v>8.6592092388583737</v>
      </c>
      <c r="N7">
        <v>9.8268000978434102</v>
      </c>
      <c r="O7">
        <v>4.1950924702043864</v>
      </c>
      <c r="P7">
        <v>3.9442046803151229</v>
      </c>
      <c r="Q7">
        <v>4.0920462368168842</v>
      </c>
      <c r="R7">
        <v>2.0065348153062681</v>
      </c>
      <c r="S7">
        <v>1.9134382674284069</v>
      </c>
      <c r="T7">
        <v>2.0013381971946318</v>
      </c>
      <c r="U7">
        <v>1.0800733628636019</v>
      </c>
      <c r="V7">
        <v>0.98074159284975004</v>
      </c>
      <c r="W7">
        <v>1.132725607122246</v>
      </c>
    </row>
    <row r="8" spans="1:23" x14ac:dyDescent="0.35">
      <c r="A8" s="1">
        <v>6</v>
      </c>
      <c r="B8">
        <v>293.99999999999989</v>
      </c>
      <c r="C8">
        <v>95.926300946830978</v>
      </c>
      <c r="D8">
        <v>100.0792608233307</v>
      </c>
      <c r="E8">
        <v>101.0841298369385</v>
      </c>
      <c r="F8">
        <v>57.661152478786228</v>
      </c>
      <c r="G8">
        <v>60.596777589664093</v>
      </c>
      <c r="H8">
        <v>54.722943247450168</v>
      </c>
      <c r="I8">
        <v>29.332902041214599</v>
      </c>
      <c r="J8">
        <v>28.883384118169349</v>
      </c>
      <c r="K8">
        <v>27.495434103472849</v>
      </c>
      <c r="L8">
        <v>11.492847625675569</v>
      </c>
      <c r="M8">
        <v>10.248190838083429</v>
      </c>
      <c r="N8">
        <v>11.57621276078714</v>
      </c>
      <c r="O8">
        <v>4.9081320710665963</v>
      </c>
      <c r="P8">
        <v>4.6455312243289821</v>
      </c>
      <c r="Q8">
        <v>4.8719309295544404</v>
      </c>
      <c r="R8">
        <v>2.3762039503336378</v>
      </c>
      <c r="S8">
        <v>2.2337260388762989</v>
      </c>
      <c r="T8">
        <v>2.356226928978173</v>
      </c>
      <c r="U8">
        <v>1.272917298597767</v>
      </c>
      <c r="V8">
        <v>1.2307269904127349</v>
      </c>
      <c r="W8">
        <v>1.291950751627261</v>
      </c>
    </row>
    <row r="9" spans="1:23" x14ac:dyDescent="0.35">
      <c r="A9" s="1">
        <v>7</v>
      </c>
      <c r="B9">
        <v>336</v>
      </c>
      <c r="C9">
        <v>111.2458743886688</v>
      </c>
      <c r="D9">
        <v>116.1668845972773</v>
      </c>
      <c r="E9">
        <v>117.07295879700671</v>
      </c>
      <c r="F9">
        <v>66.464998894931341</v>
      </c>
      <c r="G9">
        <v>69.792501864529356</v>
      </c>
      <c r="H9">
        <v>62.933161048676439</v>
      </c>
      <c r="I9">
        <v>33.701780738116213</v>
      </c>
      <c r="J9">
        <v>33.182629410019381</v>
      </c>
      <c r="K9">
        <v>31.511231193135799</v>
      </c>
      <c r="L9">
        <v>13.18516148480537</v>
      </c>
      <c r="M9">
        <v>11.732726282377071</v>
      </c>
      <c r="N9">
        <v>13.16554743659607</v>
      </c>
      <c r="O9">
        <v>5.70272721113054</v>
      </c>
      <c r="P9">
        <v>5.4096644491894503</v>
      </c>
      <c r="Q9">
        <v>5.5414180085280389</v>
      </c>
      <c r="R9">
        <v>2.724045393992276</v>
      </c>
      <c r="S9">
        <v>2.5849649800570802</v>
      </c>
      <c r="T9">
        <v>2.6817113362038718</v>
      </c>
      <c r="U9">
        <v>1.43155649321052</v>
      </c>
      <c r="V9">
        <v>1.3820435530239019</v>
      </c>
      <c r="W9">
        <v>1.496721300878475</v>
      </c>
    </row>
    <row r="10" spans="1:23" x14ac:dyDescent="0.35">
      <c r="A10" s="1">
        <v>8</v>
      </c>
      <c r="B10">
        <v>378</v>
      </c>
      <c r="C10">
        <v>126.316455712316</v>
      </c>
      <c r="D10">
        <v>131.733397841992</v>
      </c>
      <c r="E10">
        <v>132.93399512894419</v>
      </c>
      <c r="F10">
        <v>75.114904982482784</v>
      </c>
      <c r="G10">
        <v>78.83556273331223</v>
      </c>
      <c r="H10">
        <v>71.091685455587381</v>
      </c>
      <c r="I10">
        <v>37.889841166764192</v>
      </c>
      <c r="J10">
        <v>37.345513331047307</v>
      </c>
      <c r="K10">
        <v>35.392616541340871</v>
      </c>
      <c r="L10">
        <v>14.81148453362866</v>
      </c>
      <c r="M10">
        <v>13.10924988793964</v>
      </c>
      <c r="N10">
        <v>14.7880865165058</v>
      </c>
      <c r="O10">
        <v>6.3786672336643253</v>
      </c>
      <c r="P10">
        <v>5.9820183676884149</v>
      </c>
      <c r="Q10">
        <v>6.2078529700408041</v>
      </c>
      <c r="R10">
        <v>3.0305282510175888</v>
      </c>
      <c r="S10">
        <v>2.858795157492493</v>
      </c>
      <c r="T10">
        <v>3.0043660572100168</v>
      </c>
      <c r="U10">
        <v>1.6397740510125529</v>
      </c>
      <c r="V10">
        <v>1.561455892682835</v>
      </c>
      <c r="W10">
        <v>1.707008976828766</v>
      </c>
    </row>
    <row r="11" spans="1:23" x14ac:dyDescent="0.35">
      <c r="A11" s="1">
        <v>9</v>
      </c>
      <c r="B11">
        <v>420</v>
      </c>
      <c r="C11">
        <v>141.0065436572277</v>
      </c>
      <c r="D11">
        <v>147.0558085479864</v>
      </c>
      <c r="E11">
        <v>148.33223867710899</v>
      </c>
      <c r="F11">
        <v>83.436761779160264</v>
      </c>
      <c r="G11">
        <v>87.483781708484997</v>
      </c>
      <c r="H11">
        <v>79.042534524372897</v>
      </c>
      <c r="I11">
        <v>41.909520167263459</v>
      </c>
      <c r="J11">
        <v>41.320820917347589</v>
      </c>
      <c r="K11">
        <v>39.316266292010461</v>
      </c>
      <c r="L11">
        <v>16.421689925976668</v>
      </c>
      <c r="M11">
        <v>14.52080346475846</v>
      </c>
      <c r="N11">
        <v>16.369621815386409</v>
      </c>
      <c r="O11">
        <v>7.0977426938509609</v>
      </c>
      <c r="P11">
        <v>6.7178427341495421</v>
      </c>
      <c r="Q11">
        <v>6.8610760462507194</v>
      </c>
      <c r="R11">
        <v>3.3691942259940388</v>
      </c>
      <c r="S11">
        <v>3.1352050206124278</v>
      </c>
      <c r="T11">
        <v>3.2545015530174299</v>
      </c>
      <c r="U11">
        <v>1.764575494547332</v>
      </c>
      <c r="V11">
        <v>1.7034215245306239</v>
      </c>
      <c r="W11">
        <v>1.832930168100074</v>
      </c>
    </row>
    <row r="12" spans="1:23" x14ac:dyDescent="0.35">
      <c r="A12" s="1">
        <v>10</v>
      </c>
      <c r="B12">
        <v>461.99999999999989</v>
      </c>
      <c r="C12">
        <v>155.3471763402618</v>
      </c>
      <c r="D12">
        <v>161.99757612641079</v>
      </c>
      <c r="E12">
        <v>163.5709514935059</v>
      </c>
      <c r="F12">
        <v>91.56031944181035</v>
      </c>
      <c r="G12">
        <v>95.763997927985372</v>
      </c>
      <c r="H12">
        <v>86.738926417998158</v>
      </c>
      <c r="I12">
        <v>45.889609247750478</v>
      </c>
      <c r="J12">
        <v>45.146896767813629</v>
      </c>
      <c r="K12">
        <v>42.983520358389683</v>
      </c>
      <c r="L12">
        <v>17.921955552745541</v>
      </c>
      <c r="M12">
        <v>15.843266942014759</v>
      </c>
      <c r="N12">
        <v>17.854569800097039</v>
      </c>
      <c r="O12">
        <v>7.7198242086983733</v>
      </c>
      <c r="P12">
        <v>7.2281388925391576</v>
      </c>
      <c r="Q12">
        <v>7.5164277521532128</v>
      </c>
      <c r="R12">
        <v>3.7537446896029478</v>
      </c>
      <c r="S12">
        <v>3.4661854100963878</v>
      </c>
      <c r="T12">
        <v>3.5778989999785851</v>
      </c>
      <c r="U12">
        <v>1.9968917790778731</v>
      </c>
      <c r="V12">
        <v>1.9000056201181841</v>
      </c>
      <c r="W12">
        <v>2.0093571669449952</v>
      </c>
    </row>
    <row r="13" spans="1:23" x14ac:dyDescent="0.35">
      <c r="A13" s="1">
        <v>11</v>
      </c>
      <c r="B13">
        <v>503.99999999999989</v>
      </c>
      <c r="C13">
        <v>169.76862094477039</v>
      </c>
      <c r="D13">
        <v>176.9140103203724</v>
      </c>
      <c r="E13">
        <v>178.61630962237879</v>
      </c>
      <c r="F13">
        <v>99.566989533816866</v>
      </c>
      <c r="G13">
        <v>103.9968751021045</v>
      </c>
      <c r="H13">
        <v>94.092719362912291</v>
      </c>
      <c r="I13">
        <v>49.648933065255918</v>
      </c>
      <c r="J13">
        <v>48.955576126261192</v>
      </c>
      <c r="K13">
        <v>46.489937406740601</v>
      </c>
      <c r="L13">
        <v>19.390296964813029</v>
      </c>
      <c r="M13">
        <v>17.186211807433519</v>
      </c>
      <c r="N13">
        <v>19.316128396609411</v>
      </c>
      <c r="O13">
        <v>8.4200373336019911</v>
      </c>
      <c r="P13">
        <v>7.8893788210202223</v>
      </c>
      <c r="Q13">
        <v>8.1056337268805052</v>
      </c>
      <c r="R13">
        <v>4.0251582035909426</v>
      </c>
      <c r="S13">
        <v>3.7836432333298049</v>
      </c>
      <c r="T13">
        <v>3.9027195537218788</v>
      </c>
      <c r="U13">
        <v>2.1917803644917391</v>
      </c>
      <c r="V13">
        <v>2.1205958643575502</v>
      </c>
      <c r="W13">
        <v>2.156594993839914</v>
      </c>
    </row>
    <row r="14" spans="1:23" x14ac:dyDescent="0.35">
      <c r="A14" s="1">
        <v>12</v>
      </c>
      <c r="B14">
        <v>546</v>
      </c>
      <c r="C14">
        <v>183.903646316894</v>
      </c>
      <c r="D14">
        <v>191.73740532934289</v>
      </c>
      <c r="E14">
        <v>193.38282333392999</v>
      </c>
      <c r="F14">
        <v>107.2227311081997</v>
      </c>
      <c r="G14">
        <v>112.0853236022735</v>
      </c>
      <c r="H14">
        <v>101.4841024376047</v>
      </c>
      <c r="I14">
        <v>53.324774499670482</v>
      </c>
      <c r="J14">
        <v>52.563535990494763</v>
      </c>
      <c r="K14">
        <v>50.132535229531548</v>
      </c>
      <c r="L14">
        <v>20.828882541494071</v>
      </c>
      <c r="M14">
        <v>18.350362604742759</v>
      </c>
      <c r="N14">
        <v>20.70479545997404</v>
      </c>
      <c r="O14">
        <v>8.9681633929189601</v>
      </c>
      <c r="P14">
        <v>8.4850494323572381</v>
      </c>
      <c r="Q14">
        <v>8.6973208427827657</v>
      </c>
      <c r="R14">
        <v>4.2942781523536624</v>
      </c>
      <c r="S14">
        <v>3.9651947031156412</v>
      </c>
      <c r="T14">
        <v>4.2301520577276266</v>
      </c>
      <c r="U14">
        <v>2.2981025421427659</v>
      </c>
      <c r="V14">
        <v>2.2867430893320928</v>
      </c>
      <c r="W14">
        <v>2.325872608561673</v>
      </c>
    </row>
    <row r="15" spans="1:23" x14ac:dyDescent="0.35">
      <c r="A15" s="1">
        <v>13</v>
      </c>
      <c r="B15">
        <v>587.99999999999989</v>
      </c>
      <c r="C15">
        <v>197.66973503782839</v>
      </c>
      <c r="D15">
        <v>206.1561571023683</v>
      </c>
      <c r="E15">
        <v>208.2825830319205</v>
      </c>
      <c r="F15">
        <v>114.59798480674451</v>
      </c>
      <c r="G15">
        <v>119.64868670400671</v>
      </c>
      <c r="H15">
        <v>108.468106046424</v>
      </c>
      <c r="I15">
        <v>56.835716797537088</v>
      </c>
      <c r="J15">
        <v>55.980850743830572</v>
      </c>
      <c r="K15">
        <v>53.397347478320697</v>
      </c>
      <c r="L15">
        <v>22.2131045124415</v>
      </c>
      <c r="M15">
        <v>19.571002252126949</v>
      </c>
      <c r="N15">
        <v>22.099641295890262</v>
      </c>
      <c r="O15">
        <v>9.568413258930546</v>
      </c>
      <c r="P15">
        <v>9.1071169255309048</v>
      </c>
      <c r="Q15">
        <v>9.3030252515989513</v>
      </c>
      <c r="R15">
        <v>4.5839964842325926</v>
      </c>
      <c r="S15">
        <v>4.3149731591875771</v>
      </c>
      <c r="T15">
        <v>4.5443791998609919</v>
      </c>
      <c r="U15">
        <v>2.4677716121813251</v>
      </c>
      <c r="V15">
        <v>2.4047867740166788</v>
      </c>
      <c r="W15">
        <v>2.455374309912044</v>
      </c>
    </row>
    <row r="16" spans="1:23" x14ac:dyDescent="0.35">
      <c r="A16" s="1">
        <v>14</v>
      </c>
      <c r="B16">
        <v>630</v>
      </c>
      <c r="C16">
        <v>211.09509711557311</v>
      </c>
      <c r="D16">
        <v>220.1444688246651</v>
      </c>
      <c r="E16">
        <v>222.3560435395888</v>
      </c>
      <c r="F16">
        <v>121.86173126468231</v>
      </c>
      <c r="G16">
        <v>127.0993997794001</v>
      </c>
      <c r="H16">
        <v>115.2205975448837</v>
      </c>
      <c r="I16">
        <v>60.209846429368532</v>
      </c>
      <c r="J16">
        <v>59.385857531440507</v>
      </c>
      <c r="K16">
        <v>56.619600208167817</v>
      </c>
      <c r="L16">
        <v>23.545628651897701</v>
      </c>
      <c r="M16">
        <v>20.715864560172779</v>
      </c>
      <c r="N16">
        <v>23.32912213989351</v>
      </c>
      <c r="O16">
        <v>10.18871022694586</v>
      </c>
      <c r="P16">
        <v>9.6944478603715343</v>
      </c>
      <c r="Q16">
        <v>9.8386763070946923</v>
      </c>
      <c r="R16">
        <v>4.8285861433157926</v>
      </c>
      <c r="S16">
        <v>4.5438146999081681</v>
      </c>
      <c r="T16">
        <v>4.7418076757369017</v>
      </c>
      <c r="U16">
        <v>2.6377025407275889</v>
      </c>
      <c r="V16">
        <v>2.5037075862293738</v>
      </c>
      <c r="W16">
        <v>2.6099852450245011</v>
      </c>
    </row>
    <row r="17" spans="1:23" x14ac:dyDescent="0.35">
      <c r="A17" s="1">
        <v>15</v>
      </c>
      <c r="B17">
        <v>672</v>
      </c>
      <c r="C17">
        <v>224.44013418633841</v>
      </c>
      <c r="D17">
        <v>234.25329164276869</v>
      </c>
      <c r="E17">
        <v>236.3543594473189</v>
      </c>
      <c r="F17">
        <v>128.8402452598753</v>
      </c>
      <c r="G17">
        <v>134.4812795720793</v>
      </c>
      <c r="H17">
        <v>121.8608508315901</v>
      </c>
      <c r="I17">
        <v>63.548627423288828</v>
      </c>
      <c r="J17">
        <v>62.571962664314569</v>
      </c>
      <c r="K17">
        <v>59.630609002578836</v>
      </c>
      <c r="L17">
        <v>24.863772035571319</v>
      </c>
      <c r="M17">
        <v>21.901044225020321</v>
      </c>
      <c r="N17">
        <v>24.713199729395011</v>
      </c>
      <c r="O17">
        <v>10.70709888715677</v>
      </c>
      <c r="P17">
        <v>10.114635295583581</v>
      </c>
      <c r="Q17">
        <v>10.406867190092241</v>
      </c>
      <c r="R17">
        <v>5.1018979278601009</v>
      </c>
      <c r="S17">
        <v>4.7872376159763723</v>
      </c>
      <c r="T17">
        <v>5.0477533690329048</v>
      </c>
      <c r="U17">
        <v>2.7080724297002599</v>
      </c>
      <c r="V17">
        <v>2.646835799153902</v>
      </c>
      <c r="W17">
        <v>2.717208965351952</v>
      </c>
    </row>
    <row r="18" spans="1:23" x14ac:dyDescent="0.35">
      <c r="A18" s="1">
        <v>16</v>
      </c>
      <c r="B18">
        <v>713.99999999999989</v>
      </c>
      <c r="C18">
        <v>237.6070849015012</v>
      </c>
      <c r="D18">
        <v>248.06219947157871</v>
      </c>
      <c r="E18">
        <v>250.41404434481009</v>
      </c>
      <c r="F18">
        <v>135.61802205678481</v>
      </c>
      <c r="G18">
        <v>141.51584158065381</v>
      </c>
      <c r="H18">
        <v>128.32610811355329</v>
      </c>
      <c r="I18">
        <v>66.673586017054376</v>
      </c>
      <c r="J18">
        <v>65.71166471379658</v>
      </c>
      <c r="K18">
        <v>62.704404193268417</v>
      </c>
      <c r="L18">
        <v>26.068846754598969</v>
      </c>
      <c r="M18">
        <v>22.917444093664169</v>
      </c>
      <c r="N18">
        <v>25.856250804316051</v>
      </c>
      <c r="O18">
        <v>11.281732951431071</v>
      </c>
      <c r="P18">
        <v>10.631723068655081</v>
      </c>
      <c r="Q18">
        <v>10.94759302039612</v>
      </c>
      <c r="R18">
        <v>5.3393176287678736</v>
      </c>
      <c r="S18">
        <v>4.979246915143829</v>
      </c>
      <c r="T18">
        <v>5.2354647321419474</v>
      </c>
      <c r="U18">
        <v>2.9085939388558559</v>
      </c>
      <c r="V18">
        <v>2.8111232435856528</v>
      </c>
      <c r="W18">
        <v>2.8998127496700579</v>
      </c>
    </row>
    <row r="19" spans="1:23" x14ac:dyDescent="0.35">
      <c r="A19" s="1">
        <v>17</v>
      </c>
      <c r="B19">
        <v>756</v>
      </c>
      <c r="C19">
        <v>249.97780646655639</v>
      </c>
      <c r="D19">
        <v>260.87326763132791</v>
      </c>
      <c r="E19">
        <v>263.33703941494679</v>
      </c>
      <c r="F19">
        <v>142.40022908977701</v>
      </c>
      <c r="G19">
        <v>148.51621036643621</v>
      </c>
      <c r="H19">
        <v>134.5899948846961</v>
      </c>
      <c r="I19">
        <v>69.759619392242001</v>
      </c>
      <c r="J19">
        <v>68.73187709130265</v>
      </c>
      <c r="K19">
        <v>65.603337586679913</v>
      </c>
      <c r="L19">
        <v>27.342625228962859</v>
      </c>
      <c r="M19">
        <v>23.904857636775731</v>
      </c>
      <c r="N19">
        <v>27.011691454115169</v>
      </c>
      <c r="O19">
        <v>11.78962934544405</v>
      </c>
      <c r="P19">
        <v>11.14538211783508</v>
      </c>
      <c r="Q19">
        <v>11.400643253720959</v>
      </c>
      <c r="R19">
        <v>5.6417440707999802</v>
      </c>
      <c r="S19">
        <v>5.2700874004490093</v>
      </c>
      <c r="T19">
        <v>5.6166803143132027</v>
      </c>
      <c r="U19">
        <v>3.091444369048638</v>
      </c>
      <c r="V19">
        <v>2.996070361003015</v>
      </c>
      <c r="W19">
        <v>2.9798100855670122</v>
      </c>
    </row>
    <row r="20" spans="1:23" x14ac:dyDescent="0.35">
      <c r="A20" s="1">
        <v>18</v>
      </c>
      <c r="B20">
        <v>797.99999999999989</v>
      </c>
      <c r="C20">
        <v>262.15783217537847</v>
      </c>
      <c r="D20">
        <v>274.00713806922278</v>
      </c>
      <c r="E20">
        <v>276.38456282543939</v>
      </c>
      <c r="F20">
        <v>148.77985520608721</v>
      </c>
      <c r="G20">
        <v>155.0410058116409</v>
      </c>
      <c r="H20">
        <v>140.54290264335799</v>
      </c>
      <c r="I20">
        <v>72.772410336692005</v>
      </c>
      <c r="J20">
        <v>71.760106000283074</v>
      </c>
      <c r="K20">
        <v>68.416082324691729</v>
      </c>
      <c r="L20">
        <v>28.471893869991579</v>
      </c>
      <c r="M20">
        <v>24.946908110454238</v>
      </c>
      <c r="N20">
        <v>28.098098863423619</v>
      </c>
      <c r="O20">
        <v>12.24090299570514</v>
      </c>
      <c r="P20">
        <v>11.61184069515231</v>
      </c>
      <c r="Q20">
        <v>11.850947013119089</v>
      </c>
      <c r="R20">
        <v>5.8680554645927518</v>
      </c>
      <c r="S20">
        <v>5.5121059927775544</v>
      </c>
      <c r="T20">
        <v>5.8024128338213909</v>
      </c>
      <c r="U20">
        <v>3.2196301714976689</v>
      </c>
      <c r="V20">
        <v>3.2137922925102962</v>
      </c>
      <c r="W20">
        <v>3.1727854467545238</v>
      </c>
    </row>
    <row r="21" spans="1:23" x14ac:dyDescent="0.35">
      <c r="A21" s="1">
        <v>19</v>
      </c>
      <c r="B21">
        <v>840</v>
      </c>
      <c r="C21">
        <v>274.67961782400488</v>
      </c>
      <c r="D21">
        <v>287.20839753964663</v>
      </c>
      <c r="E21">
        <v>290.02944678044889</v>
      </c>
      <c r="F21">
        <v>155.17219153119069</v>
      </c>
      <c r="G21">
        <v>161.68705263805739</v>
      </c>
      <c r="H21">
        <v>146.68733158031131</v>
      </c>
      <c r="I21">
        <v>75.634156657267141</v>
      </c>
      <c r="J21">
        <v>74.591209903593878</v>
      </c>
      <c r="K21">
        <v>71.181757479162584</v>
      </c>
      <c r="L21">
        <v>29.57937409863953</v>
      </c>
      <c r="M21">
        <v>25.91320302168786</v>
      </c>
      <c r="N21">
        <v>29.293505132746851</v>
      </c>
      <c r="O21">
        <v>12.740381605698889</v>
      </c>
      <c r="P21">
        <v>12.062901255498209</v>
      </c>
      <c r="Q21">
        <v>12.41076795149943</v>
      </c>
      <c r="R21">
        <v>6.1341367683803441</v>
      </c>
      <c r="S21">
        <v>5.7183866512093644</v>
      </c>
      <c r="T21">
        <v>6.0837023092632618</v>
      </c>
      <c r="U21">
        <v>3.2843625765913238</v>
      </c>
      <c r="V21">
        <v>3.1910753586148042</v>
      </c>
      <c r="W21">
        <v>3.2443073672312179</v>
      </c>
    </row>
    <row r="22" spans="1:23" x14ac:dyDescent="0.35">
      <c r="A22" s="1">
        <v>20</v>
      </c>
      <c r="B22">
        <v>882</v>
      </c>
      <c r="C22">
        <v>286.41457135317711</v>
      </c>
      <c r="D22">
        <v>299.69293155654628</v>
      </c>
      <c r="E22">
        <v>302.83005037298568</v>
      </c>
      <c r="F22">
        <v>161.56461756682259</v>
      </c>
      <c r="G22">
        <v>168.12041232819439</v>
      </c>
      <c r="H22">
        <v>152.6194693975321</v>
      </c>
      <c r="I22">
        <v>78.494006457379882</v>
      </c>
      <c r="J22">
        <v>77.338814891291022</v>
      </c>
      <c r="K22">
        <v>73.832362571519056</v>
      </c>
      <c r="L22">
        <v>30.739591542329759</v>
      </c>
      <c r="M22">
        <v>26.848813998120441</v>
      </c>
      <c r="N22">
        <v>30.34108828621163</v>
      </c>
      <c r="O22">
        <v>13.254129729342401</v>
      </c>
      <c r="P22">
        <v>12.55189836604981</v>
      </c>
      <c r="Q22">
        <v>12.88146272566142</v>
      </c>
      <c r="R22">
        <v>6.4272071656749308</v>
      </c>
      <c r="S22">
        <v>5.9642433132666568</v>
      </c>
      <c r="T22">
        <v>6.2644864244859324</v>
      </c>
      <c r="U22">
        <v>3.4159912813249829</v>
      </c>
      <c r="V22">
        <v>3.362168872237703</v>
      </c>
      <c r="W22">
        <v>3.3552481415589379</v>
      </c>
    </row>
    <row r="23" spans="1:23" x14ac:dyDescent="0.35">
      <c r="A23" s="1">
        <v>21</v>
      </c>
      <c r="B23">
        <v>923.99999999999989</v>
      </c>
      <c r="C23">
        <v>298.43690185371122</v>
      </c>
      <c r="D23">
        <v>312.56822257838292</v>
      </c>
      <c r="E23">
        <v>315.49589442349708</v>
      </c>
      <c r="F23">
        <v>167.57252423495649</v>
      </c>
      <c r="G23">
        <v>174.25829830075929</v>
      </c>
      <c r="H23">
        <v>158.25716162006299</v>
      </c>
      <c r="I23">
        <v>81.241480823531276</v>
      </c>
      <c r="J23">
        <v>79.943042663664258</v>
      </c>
      <c r="K23">
        <v>76.492426868132227</v>
      </c>
      <c r="L23">
        <v>31.790464105902721</v>
      </c>
      <c r="M23">
        <v>27.860995598041811</v>
      </c>
      <c r="N23">
        <v>31.340014988177991</v>
      </c>
      <c r="O23">
        <v>13.76796516856801</v>
      </c>
      <c r="P23">
        <v>12.993438162390859</v>
      </c>
      <c r="Q23">
        <v>13.31191411483595</v>
      </c>
      <c r="R23">
        <v>6.549694342728074</v>
      </c>
      <c r="S23">
        <v>6.1628751586668127</v>
      </c>
      <c r="T23">
        <v>6.5095633644988116</v>
      </c>
      <c r="U23">
        <v>3.5381893602094951</v>
      </c>
      <c r="V23">
        <v>3.471484839217077</v>
      </c>
      <c r="W23">
        <v>3.4240796710240509</v>
      </c>
    </row>
    <row r="24" spans="1:23" x14ac:dyDescent="0.35">
      <c r="A24" s="1">
        <v>22</v>
      </c>
      <c r="B24">
        <v>965.99999999999989</v>
      </c>
      <c r="C24">
        <v>309.17585498070781</v>
      </c>
      <c r="D24">
        <v>324.41671479769661</v>
      </c>
      <c r="E24">
        <v>327.61797064348929</v>
      </c>
      <c r="F24">
        <v>173.12291433936591</v>
      </c>
      <c r="G24">
        <v>179.97785207136471</v>
      </c>
      <c r="H24">
        <v>163.65345448369101</v>
      </c>
      <c r="I24">
        <v>83.763258750666068</v>
      </c>
      <c r="J24">
        <v>82.531564312356934</v>
      </c>
      <c r="K24">
        <v>78.938581268478629</v>
      </c>
      <c r="L24">
        <v>32.724421123736477</v>
      </c>
      <c r="M24">
        <v>28.633934952009351</v>
      </c>
      <c r="N24">
        <v>32.336581992016399</v>
      </c>
      <c r="O24">
        <v>14.155561979599939</v>
      </c>
      <c r="P24">
        <v>13.38834831204781</v>
      </c>
      <c r="Q24">
        <v>13.74701387792318</v>
      </c>
      <c r="R24">
        <v>6.7668690765218988</v>
      </c>
      <c r="S24">
        <v>6.284904592130883</v>
      </c>
      <c r="T24">
        <v>6.6485651789220723</v>
      </c>
      <c r="U24">
        <v>3.700740363811025</v>
      </c>
      <c r="V24">
        <v>3.4677832091824632</v>
      </c>
      <c r="W24">
        <v>3.553021209220395</v>
      </c>
    </row>
    <row r="25" spans="1:23" x14ac:dyDescent="0.35">
      <c r="A25" s="1">
        <v>23</v>
      </c>
      <c r="B25">
        <v>1008</v>
      </c>
      <c r="C25">
        <v>320.51640678479993</v>
      </c>
      <c r="D25">
        <v>336.73246238081123</v>
      </c>
      <c r="E25">
        <v>339.88238810802233</v>
      </c>
      <c r="F25">
        <v>178.80836742935071</v>
      </c>
      <c r="G25">
        <v>185.93084181759141</v>
      </c>
      <c r="H25">
        <v>168.91173010859521</v>
      </c>
      <c r="I25">
        <v>86.156210235159563</v>
      </c>
      <c r="J25">
        <v>84.900065374017274</v>
      </c>
      <c r="K25">
        <v>81.164789988834997</v>
      </c>
      <c r="L25">
        <v>33.659923580026899</v>
      </c>
      <c r="M25">
        <v>29.48796841651221</v>
      </c>
      <c r="N25">
        <v>33.332168010931767</v>
      </c>
      <c r="O25">
        <v>14.565946413056791</v>
      </c>
      <c r="P25">
        <v>13.84031221357011</v>
      </c>
      <c r="Q25">
        <v>14.179091748726769</v>
      </c>
      <c r="R25">
        <v>6.9939094946159264</v>
      </c>
      <c r="S25">
        <v>6.5028141920770439</v>
      </c>
      <c r="T25">
        <v>6.8615721770925147</v>
      </c>
      <c r="U25">
        <v>3.7780271897163642</v>
      </c>
      <c r="V25">
        <v>3.679472084070543</v>
      </c>
      <c r="W25">
        <v>3.7147946988020459</v>
      </c>
    </row>
    <row r="26" spans="1:23" x14ac:dyDescent="0.35">
      <c r="A26" s="1">
        <v>24</v>
      </c>
      <c r="B26">
        <v>1050</v>
      </c>
      <c r="C26">
        <v>331.62869694831909</v>
      </c>
      <c r="D26">
        <v>348.09252173393878</v>
      </c>
      <c r="E26">
        <v>351.39851178542642</v>
      </c>
      <c r="F26">
        <v>184.28061731025309</v>
      </c>
      <c r="G26">
        <v>191.51762337911751</v>
      </c>
      <c r="H26">
        <v>174.00174588030669</v>
      </c>
      <c r="I26">
        <v>88.71941887776957</v>
      </c>
      <c r="J26">
        <v>87.426043487819399</v>
      </c>
      <c r="K26">
        <v>83.624144359030396</v>
      </c>
      <c r="L26">
        <v>34.600648555461227</v>
      </c>
      <c r="M26">
        <v>30.313429847743961</v>
      </c>
      <c r="N26">
        <v>34.2350043946049</v>
      </c>
      <c r="O26">
        <v>15.005259859552661</v>
      </c>
      <c r="P26">
        <v>14.20515028145094</v>
      </c>
      <c r="Q26">
        <v>14.493426481895989</v>
      </c>
      <c r="R26">
        <v>7.1506544148393694</v>
      </c>
      <c r="S26">
        <v>6.6972933547553017</v>
      </c>
      <c r="T26">
        <v>7.0044101208373526</v>
      </c>
      <c r="U26">
        <v>3.9035230649254791</v>
      </c>
      <c r="V26">
        <v>3.850930124186271</v>
      </c>
      <c r="W26">
        <v>3.805979740654196</v>
      </c>
    </row>
    <row r="27" spans="1:23" x14ac:dyDescent="0.35">
      <c r="A27" s="1">
        <v>25</v>
      </c>
      <c r="B27">
        <v>1092</v>
      </c>
      <c r="C27">
        <v>342.30907375341542</v>
      </c>
      <c r="D27">
        <v>359.39766872584141</v>
      </c>
      <c r="E27">
        <v>363.101744031431</v>
      </c>
      <c r="F27">
        <v>189.43220633014789</v>
      </c>
      <c r="G27">
        <v>196.72754672635389</v>
      </c>
      <c r="H27">
        <v>178.88570699583209</v>
      </c>
      <c r="I27">
        <v>90.95786507564965</v>
      </c>
      <c r="J27">
        <v>89.625554310525118</v>
      </c>
      <c r="K27">
        <v>85.810143968259993</v>
      </c>
      <c r="L27">
        <v>35.524795114289752</v>
      </c>
      <c r="M27">
        <v>31.141968416833311</v>
      </c>
      <c r="N27">
        <v>35.179015492453772</v>
      </c>
      <c r="O27">
        <v>15.45490850519287</v>
      </c>
      <c r="P27">
        <v>14.52116021765125</v>
      </c>
      <c r="Q27">
        <v>15.011679549562061</v>
      </c>
      <c r="R27">
        <v>7.3555504985810849</v>
      </c>
      <c r="S27">
        <v>6.9776263413842479</v>
      </c>
      <c r="T27">
        <v>7.2764552487732104</v>
      </c>
      <c r="U27">
        <v>4.0641889696529132</v>
      </c>
      <c r="V27">
        <v>3.9159984423201051</v>
      </c>
      <c r="W27">
        <v>3.9198398258021601</v>
      </c>
    </row>
    <row r="28" spans="1:23" x14ac:dyDescent="0.35">
      <c r="A28" s="1">
        <v>26</v>
      </c>
      <c r="B28">
        <v>1134</v>
      </c>
      <c r="C28">
        <v>353.29052793180171</v>
      </c>
      <c r="D28">
        <v>371.19393780104332</v>
      </c>
      <c r="E28">
        <v>375.10584197371531</v>
      </c>
      <c r="F28">
        <v>194.62251181068279</v>
      </c>
      <c r="G28">
        <v>202.0030597618937</v>
      </c>
      <c r="H28">
        <v>183.78776856028779</v>
      </c>
      <c r="I28">
        <v>93.076593842851807</v>
      </c>
      <c r="J28">
        <v>91.808569726777648</v>
      </c>
      <c r="K28">
        <v>87.903178254965852</v>
      </c>
      <c r="L28">
        <v>36.435191650516607</v>
      </c>
      <c r="M28">
        <v>31.951213658784759</v>
      </c>
      <c r="N28">
        <v>36.052796429988952</v>
      </c>
      <c r="O28">
        <v>15.92058236262276</v>
      </c>
      <c r="P28">
        <v>14.97571144171571</v>
      </c>
      <c r="Q28">
        <v>15.424081145368939</v>
      </c>
      <c r="R28">
        <v>7.6018345703502952</v>
      </c>
      <c r="S28">
        <v>7.0959328587284567</v>
      </c>
      <c r="T28">
        <v>7.4733926686052712</v>
      </c>
      <c r="U28">
        <v>4.0619128043286317</v>
      </c>
      <c r="V28">
        <v>3.9593286857348651</v>
      </c>
      <c r="W28">
        <v>4.0581705159757409</v>
      </c>
    </row>
    <row r="29" spans="1:23" x14ac:dyDescent="0.35">
      <c r="A29" s="1">
        <v>27</v>
      </c>
      <c r="B29">
        <v>1176</v>
      </c>
      <c r="C29">
        <v>363.95335364492848</v>
      </c>
      <c r="D29">
        <v>382.1442963296434</v>
      </c>
      <c r="E29">
        <v>385.61394067315092</v>
      </c>
      <c r="F29">
        <v>199.53421263143861</v>
      </c>
      <c r="G29">
        <v>207.0388387190678</v>
      </c>
      <c r="H29">
        <v>188.240883843696</v>
      </c>
      <c r="I29">
        <v>95.168959080325109</v>
      </c>
      <c r="J29">
        <v>93.844183198704755</v>
      </c>
      <c r="K29">
        <v>89.896833800032212</v>
      </c>
      <c r="L29">
        <v>37.190476894386578</v>
      </c>
      <c r="M29">
        <v>32.586854559420907</v>
      </c>
      <c r="N29">
        <v>36.788099415604727</v>
      </c>
      <c r="O29">
        <v>16.219162960736998</v>
      </c>
      <c r="P29">
        <v>15.374033006864471</v>
      </c>
      <c r="Q29">
        <v>15.69493337665806</v>
      </c>
      <c r="R29">
        <v>7.8168196783973363</v>
      </c>
      <c r="S29">
        <v>7.2529034662558516</v>
      </c>
      <c r="T29">
        <v>7.5874021557848463</v>
      </c>
      <c r="U29">
        <v>4.2546558186197627</v>
      </c>
      <c r="V29">
        <v>4.1389005645840378</v>
      </c>
      <c r="W29">
        <v>4.0281636992171954</v>
      </c>
    </row>
    <row r="30" spans="1:23" x14ac:dyDescent="0.35">
      <c r="A30" s="1">
        <v>28</v>
      </c>
      <c r="B30">
        <v>1218</v>
      </c>
      <c r="C30">
        <v>373.29504319245302</v>
      </c>
      <c r="D30">
        <v>392.45069266512547</v>
      </c>
      <c r="E30">
        <v>396.33837688350337</v>
      </c>
      <c r="F30">
        <v>204.17755876625549</v>
      </c>
      <c r="G30">
        <v>211.7164583944577</v>
      </c>
      <c r="H30">
        <v>192.7069620820447</v>
      </c>
      <c r="I30">
        <v>97.22363636104734</v>
      </c>
      <c r="J30">
        <v>95.895527367059515</v>
      </c>
      <c r="K30">
        <v>91.869055719027997</v>
      </c>
      <c r="L30">
        <v>38.026461043930702</v>
      </c>
      <c r="M30">
        <v>33.354398265392881</v>
      </c>
      <c r="N30">
        <v>37.636490296780487</v>
      </c>
      <c r="O30">
        <v>16.51073041540111</v>
      </c>
      <c r="P30">
        <v>15.60323251125658</v>
      </c>
      <c r="Q30">
        <v>16.010061602186472</v>
      </c>
      <c r="R30">
        <v>8.0276138528875798</v>
      </c>
      <c r="S30">
        <v>7.4333047956971754</v>
      </c>
      <c r="T30">
        <v>7.8837317080334159</v>
      </c>
      <c r="U30">
        <v>4.3297183776812682</v>
      </c>
      <c r="V30">
        <v>4.1794597361272574</v>
      </c>
      <c r="W30">
        <v>4.2364213513805424</v>
      </c>
    </row>
    <row r="31" spans="1:23" x14ac:dyDescent="0.35">
      <c r="A31" s="1">
        <v>29</v>
      </c>
      <c r="B31">
        <v>1260</v>
      </c>
      <c r="C31">
        <v>383.97820740422998</v>
      </c>
      <c r="D31">
        <v>403.42426821022627</v>
      </c>
      <c r="E31">
        <v>407.4680386162571</v>
      </c>
      <c r="F31">
        <v>208.92289497661329</v>
      </c>
      <c r="G31">
        <v>216.65687947158469</v>
      </c>
      <c r="H31">
        <v>197.1682229486899</v>
      </c>
      <c r="I31">
        <v>99.13897488481588</v>
      </c>
      <c r="J31">
        <v>97.739947494962394</v>
      </c>
      <c r="K31">
        <v>93.737730039807332</v>
      </c>
      <c r="L31">
        <v>38.827903453072643</v>
      </c>
      <c r="M31">
        <v>33.950853287259832</v>
      </c>
      <c r="N31">
        <v>38.405594776273631</v>
      </c>
      <c r="O31">
        <v>16.908037826936528</v>
      </c>
      <c r="P31">
        <v>15.98921971535824</v>
      </c>
      <c r="Q31">
        <v>16.40554457014726</v>
      </c>
      <c r="R31">
        <v>8.1402837226655667</v>
      </c>
      <c r="S31">
        <v>7.615631286894482</v>
      </c>
      <c r="T31">
        <v>7.9315791802201208</v>
      </c>
      <c r="U31">
        <v>4.3660508098559951</v>
      </c>
      <c r="V31">
        <v>4.358157908069086</v>
      </c>
      <c r="W31">
        <v>4.311065210343199</v>
      </c>
    </row>
    <row r="32" spans="1:23" x14ac:dyDescent="0.35">
      <c r="A32" s="1">
        <v>30</v>
      </c>
      <c r="B32">
        <v>1302</v>
      </c>
      <c r="C32">
        <v>394.0886834414618</v>
      </c>
      <c r="D32">
        <v>413.95778282920071</v>
      </c>
      <c r="E32">
        <v>417.70490284012482</v>
      </c>
      <c r="F32">
        <v>213.55957576096361</v>
      </c>
      <c r="G32">
        <v>221.44194169691849</v>
      </c>
      <c r="H32">
        <v>201.537317862104</v>
      </c>
      <c r="I32">
        <v>101.2669367653486</v>
      </c>
      <c r="J32">
        <v>99.835515328193125</v>
      </c>
      <c r="K32">
        <v>95.741096937261446</v>
      </c>
      <c r="L32">
        <v>39.572291626992872</v>
      </c>
      <c r="M32">
        <v>34.726878059099228</v>
      </c>
      <c r="N32">
        <v>39.125144237041567</v>
      </c>
      <c r="O32">
        <v>17.308105745463521</v>
      </c>
      <c r="P32">
        <v>16.305932817511589</v>
      </c>
      <c r="Q32">
        <v>16.75913218653416</v>
      </c>
      <c r="R32">
        <v>8.3096693086309763</v>
      </c>
      <c r="S32">
        <v>7.7328007918831831</v>
      </c>
      <c r="T32">
        <v>8.1188959787674637</v>
      </c>
      <c r="U32">
        <v>4.527838148824153</v>
      </c>
      <c r="V32">
        <v>4.3242997360757753</v>
      </c>
      <c r="W32">
        <v>4.3497871830377761</v>
      </c>
    </row>
    <row r="33" spans="1:23" x14ac:dyDescent="0.35">
      <c r="A33" s="1">
        <v>31</v>
      </c>
      <c r="B33">
        <v>1344</v>
      </c>
      <c r="C33">
        <v>403.76408828864061</v>
      </c>
      <c r="D33">
        <v>424.51995634018522</v>
      </c>
      <c r="E33">
        <v>428.34281164838359</v>
      </c>
      <c r="F33">
        <v>218.41265724054921</v>
      </c>
      <c r="G33">
        <v>226.32625386670711</v>
      </c>
      <c r="H33">
        <v>205.9076835647802</v>
      </c>
      <c r="I33">
        <v>103.2122720481314</v>
      </c>
      <c r="J33">
        <v>101.77061845972381</v>
      </c>
      <c r="K33">
        <v>97.572589340326942</v>
      </c>
      <c r="L33">
        <v>40.265648502387933</v>
      </c>
      <c r="M33">
        <v>35.340086385989757</v>
      </c>
      <c r="N33">
        <v>39.880107659694438</v>
      </c>
      <c r="O33">
        <v>17.553951193517381</v>
      </c>
      <c r="P33">
        <v>16.675547745807702</v>
      </c>
      <c r="Q33">
        <v>17.096458638313539</v>
      </c>
      <c r="R33">
        <v>8.4426699891387695</v>
      </c>
      <c r="S33">
        <v>7.8355366552041579</v>
      </c>
      <c r="T33">
        <v>8.3746712893161117</v>
      </c>
      <c r="U33">
        <v>4.5435852620265642</v>
      </c>
      <c r="V33">
        <v>4.494669956723456</v>
      </c>
      <c r="W33">
        <v>4.5044094803321988</v>
      </c>
    </row>
    <row r="34" spans="1:23" x14ac:dyDescent="0.35">
      <c r="A34" s="1">
        <v>32</v>
      </c>
      <c r="B34">
        <v>1386</v>
      </c>
      <c r="C34">
        <v>413.37073785651671</v>
      </c>
      <c r="D34">
        <v>434.83010452793633</v>
      </c>
      <c r="E34">
        <v>439.20667121986048</v>
      </c>
      <c r="F34">
        <v>221.8233130947487</v>
      </c>
      <c r="G34">
        <v>229.89236685990039</v>
      </c>
      <c r="H34">
        <v>209.56194995104241</v>
      </c>
      <c r="I34">
        <v>104.7885014788009</v>
      </c>
      <c r="J34">
        <v>103.41334296780749</v>
      </c>
      <c r="K34">
        <v>99.250235571306661</v>
      </c>
      <c r="L34">
        <v>40.928020068923367</v>
      </c>
      <c r="M34">
        <v>35.897878854851207</v>
      </c>
      <c r="N34">
        <v>40.502156658600668</v>
      </c>
      <c r="O34">
        <v>17.906888444832681</v>
      </c>
      <c r="P34">
        <v>16.899750463216751</v>
      </c>
      <c r="Q34">
        <v>17.3993194925857</v>
      </c>
      <c r="R34">
        <v>8.6558455553759313</v>
      </c>
      <c r="S34">
        <v>8.0273665514630803</v>
      </c>
      <c r="T34">
        <v>8.4396812988732517</v>
      </c>
      <c r="U34">
        <v>4.6705606413425818</v>
      </c>
      <c r="V34">
        <v>4.6214828856896997</v>
      </c>
      <c r="W34">
        <v>4.5263491575758836</v>
      </c>
    </row>
    <row r="35" spans="1:23" x14ac:dyDescent="0.35">
      <c r="A35" s="1">
        <v>33</v>
      </c>
      <c r="B35">
        <v>1428</v>
      </c>
      <c r="C35">
        <v>421.87002209497632</v>
      </c>
      <c r="D35">
        <v>443.81824072559448</v>
      </c>
      <c r="E35">
        <v>447.96317678029868</v>
      </c>
      <c r="F35">
        <v>226.3503762013076</v>
      </c>
      <c r="G35">
        <v>234.6724878752334</v>
      </c>
      <c r="H35">
        <v>213.68655486479099</v>
      </c>
      <c r="I35">
        <v>106.8464760594666</v>
      </c>
      <c r="J35">
        <v>105.4462668241711</v>
      </c>
      <c r="K35">
        <v>101.1262824802993</v>
      </c>
      <c r="L35">
        <v>41.696412872325958</v>
      </c>
      <c r="M35">
        <v>36.601533444479003</v>
      </c>
      <c r="N35">
        <v>41.279916106537691</v>
      </c>
      <c r="O35">
        <v>18.244110540457189</v>
      </c>
      <c r="P35">
        <v>17.19607070184043</v>
      </c>
      <c r="Q35">
        <v>17.739519582805531</v>
      </c>
      <c r="R35">
        <v>8.7743657375968542</v>
      </c>
      <c r="S35">
        <v>8.1900835367035096</v>
      </c>
      <c r="T35">
        <v>8.5761035531731142</v>
      </c>
      <c r="U35">
        <v>4.6825938156183176</v>
      </c>
      <c r="V35">
        <v>4.6030396546213224</v>
      </c>
      <c r="W35">
        <v>4.6812843092165934</v>
      </c>
    </row>
    <row r="36" spans="1:23" x14ac:dyDescent="0.35">
      <c r="A36" s="1">
        <v>34</v>
      </c>
      <c r="B36">
        <v>1470</v>
      </c>
      <c r="C36">
        <v>430.94748439251549</v>
      </c>
      <c r="D36">
        <v>453.07861287015129</v>
      </c>
      <c r="E36">
        <v>457.51985586774731</v>
      </c>
      <c r="F36">
        <v>230.39826856743579</v>
      </c>
      <c r="G36">
        <v>238.61209768048619</v>
      </c>
      <c r="H36">
        <v>217.3854685557726</v>
      </c>
      <c r="I36">
        <v>108.4924364025574</v>
      </c>
      <c r="J36">
        <v>107.0048516546214</v>
      </c>
      <c r="K36">
        <v>102.8481251634729</v>
      </c>
      <c r="L36">
        <v>42.184587778181672</v>
      </c>
      <c r="M36">
        <v>37.12606678111316</v>
      </c>
      <c r="N36">
        <v>41.854822127982317</v>
      </c>
      <c r="O36">
        <v>18.489062808304841</v>
      </c>
      <c r="P36">
        <v>17.45660895455033</v>
      </c>
      <c r="Q36">
        <v>18.009822473117762</v>
      </c>
      <c r="R36">
        <v>8.9387664112990759</v>
      </c>
      <c r="S36">
        <v>8.2693611223561216</v>
      </c>
      <c r="T36">
        <v>8.7344656634463682</v>
      </c>
      <c r="U36">
        <v>4.8284873025789166</v>
      </c>
      <c r="V36">
        <v>4.7481479930871409</v>
      </c>
      <c r="W36">
        <v>4.7334903094712839</v>
      </c>
    </row>
    <row r="37" spans="1:23" x14ac:dyDescent="0.35">
      <c r="A37" s="1">
        <v>35</v>
      </c>
      <c r="B37">
        <v>1512</v>
      </c>
      <c r="C37">
        <v>440.45842751687229</v>
      </c>
      <c r="D37">
        <v>463.05635104795152</v>
      </c>
      <c r="E37">
        <v>467.46284262236912</v>
      </c>
      <c r="F37">
        <v>234.15957315631269</v>
      </c>
      <c r="G37">
        <v>242.45174163406611</v>
      </c>
      <c r="H37">
        <v>220.75139254299691</v>
      </c>
      <c r="I37">
        <v>110.3163858253681</v>
      </c>
      <c r="J37">
        <v>108.6924619058815</v>
      </c>
      <c r="K37">
        <v>104.4113145735182</v>
      </c>
      <c r="L37">
        <v>43.080830418698248</v>
      </c>
      <c r="M37">
        <v>37.817944481215342</v>
      </c>
      <c r="N37">
        <v>42.657458154250627</v>
      </c>
      <c r="O37">
        <v>18.792381657004899</v>
      </c>
      <c r="P37">
        <v>17.79209063743177</v>
      </c>
      <c r="Q37">
        <v>18.243982711323309</v>
      </c>
      <c r="R37">
        <v>9.0942826944608033</v>
      </c>
      <c r="S37">
        <v>8.4411333515717129</v>
      </c>
      <c r="T37">
        <v>8.8547362318281877</v>
      </c>
      <c r="U37">
        <v>4.9398905883013162</v>
      </c>
      <c r="V37">
        <v>4.8209811117031176</v>
      </c>
      <c r="W37">
        <v>4.7381444179325776</v>
      </c>
    </row>
    <row r="38" spans="1:23" x14ac:dyDescent="0.35">
      <c r="A38" s="1">
        <v>36</v>
      </c>
      <c r="B38">
        <v>1554</v>
      </c>
      <c r="C38">
        <v>449.07534959544898</v>
      </c>
      <c r="D38">
        <v>472.18012816934612</v>
      </c>
      <c r="E38">
        <v>476.8691775765538</v>
      </c>
      <c r="F38">
        <v>238.12202734463341</v>
      </c>
      <c r="G38">
        <v>246.54488056843761</v>
      </c>
      <c r="H38">
        <v>224.7185831532793</v>
      </c>
      <c r="I38">
        <v>111.7279660531463</v>
      </c>
      <c r="J38">
        <v>110.2560856891744</v>
      </c>
      <c r="K38">
        <v>105.964555331106</v>
      </c>
      <c r="L38">
        <v>43.576366644989953</v>
      </c>
      <c r="M38">
        <v>38.34813519540846</v>
      </c>
      <c r="N38">
        <v>43.249795516717271</v>
      </c>
      <c r="O38">
        <v>19.128754786771001</v>
      </c>
      <c r="P38">
        <v>18.107678229052208</v>
      </c>
      <c r="Q38">
        <v>18.59732459439304</v>
      </c>
      <c r="R38">
        <v>9.2311001716577135</v>
      </c>
      <c r="S38">
        <v>8.5963512130733086</v>
      </c>
      <c r="T38">
        <v>9.020537401001949</v>
      </c>
      <c r="U38">
        <v>4.9581003090444966</v>
      </c>
      <c r="V38">
        <v>4.9444822183940378</v>
      </c>
      <c r="W38">
        <v>4.8977684081751951</v>
      </c>
    </row>
    <row r="39" spans="1:23" x14ac:dyDescent="0.35">
      <c r="A39" s="1">
        <v>37</v>
      </c>
      <c r="B39">
        <v>1596</v>
      </c>
      <c r="C39">
        <v>457.90121608663992</v>
      </c>
      <c r="D39">
        <v>481.26788130300389</v>
      </c>
      <c r="E39">
        <v>486.30674673829708</v>
      </c>
      <c r="F39">
        <v>241.4602749372954</v>
      </c>
      <c r="G39">
        <v>250.0442627525768</v>
      </c>
      <c r="H39">
        <v>228.06864495102019</v>
      </c>
      <c r="I39">
        <v>113.2779697671814</v>
      </c>
      <c r="J39">
        <v>111.8146161215014</v>
      </c>
      <c r="K39">
        <v>107.5441227293648</v>
      </c>
      <c r="L39">
        <v>44.278731944956952</v>
      </c>
      <c r="M39">
        <v>39.019515400120319</v>
      </c>
      <c r="N39">
        <v>43.923068977605688</v>
      </c>
      <c r="O39">
        <v>19.403301253626172</v>
      </c>
      <c r="P39">
        <v>18.33251597722629</v>
      </c>
      <c r="Q39">
        <v>18.861621654783441</v>
      </c>
      <c r="R39">
        <v>9.3769209893718664</v>
      </c>
      <c r="S39">
        <v>8.6299436877427773</v>
      </c>
      <c r="T39">
        <v>9.1170742137005618</v>
      </c>
      <c r="U39">
        <v>5.0748681682099281</v>
      </c>
      <c r="V39">
        <v>5.0114113886673426</v>
      </c>
      <c r="W39">
        <v>4.9084891178694017</v>
      </c>
    </row>
    <row r="40" spans="1:23" x14ac:dyDescent="0.35">
      <c r="A40" s="1">
        <v>38</v>
      </c>
      <c r="B40">
        <v>1638</v>
      </c>
      <c r="C40">
        <v>467.01558570340779</v>
      </c>
      <c r="D40">
        <v>490.80952082028858</v>
      </c>
      <c r="E40">
        <v>495.97651757919039</v>
      </c>
      <c r="F40">
        <v>245.5137244476951</v>
      </c>
      <c r="G40">
        <v>254.1322578496551</v>
      </c>
      <c r="H40">
        <v>231.7321672235461</v>
      </c>
      <c r="I40">
        <v>114.89281610422459</v>
      </c>
      <c r="J40">
        <v>113.3026273669971</v>
      </c>
      <c r="K40">
        <v>109.0635203758038</v>
      </c>
      <c r="L40">
        <v>44.956283159905681</v>
      </c>
      <c r="M40">
        <v>39.561311760416487</v>
      </c>
      <c r="N40">
        <v>44.575125875583652</v>
      </c>
      <c r="O40">
        <v>19.648800640238129</v>
      </c>
      <c r="P40">
        <v>18.596406030235251</v>
      </c>
      <c r="Q40">
        <v>19.104415760435579</v>
      </c>
      <c r="R40">
        <v>9.4792005420430829</v>
      </c>
      <c r="S40">
        <v>8.7698968043857004</v>
      </c>
      <c r="T40">
        <v>9.243252098891638</v>
      </c>
      <c r="U40">
        <v>5.1964032684742358</v>
      </c>
      <c r="V40">
        <v>5.0962109573918433</v>
      </c>
      <c r="W40">
        <v>4.924751510366792</v>
      </c>
    </row>
    <row r="41" spans="1:23" x14ac:dyDescent="0.35">
      <c r="A41" s="1">
        <v>39</v>
      </c>
      <c r="B41">
        <v>1680</v>
      </c>
      <c r="C41">
        <v>474.72245208068381</v>
      </c>
      <c r="D41">
        <v>498.81608820834617</v>
      </c>
      <c r="E41">
        <v>503.56162677534701</v>
      </c>
      <c r="F41">
        <v>248.82512989209201</v>
      </c>
      <c r="G41">
        <v>257.64512876949948</v>
      </c>
      <c r="H41">
        <v>234.84933849447819</v>
      </c>
      <c r="I41">
        <v>116.35042692958829</v>
      </c>
      <c r="J41">
        <v>114.8439275871584</v>
      </c>
      <c r="K41">
        <v>110.4988052056739</v>
      </c>
      <c r="L41">
        <v>45.43691539572233</v>
      </c>
      <c r="M41">
        <v>40.03111384448097</v>
      </c>
      <c r="N41">
        <v>45.123572440786191</v>
      </c>
      <c r="O41">
        <v>19.893839390902251</v>
      </c>
      <c r="P41">
        <v>18.844528237836151</v>
      </c>
      <c r="Q41">
        <v>19.410383831052119</v>
      </c>
      <c r="R41">
        <v>9.5902385846241369</v>
      </c>
      <c r="S41">
        <v>8.9614512037853427</v>
      </c>
      <c r="T41">
        <v>9.3862629268176292</v>
      </c>
      <c r="U41">
        <v>5.2573009289011532</v>
      </c>
      <c r="V41">
        <v>5.1301900324933634</v>
      </c>
      <c r="W41">
        <v>5.0595853439526364</v>
      </c>
    </row>
    <row r="42" spans="1:23" x14ac:dyDescent="0.35">
      <c r="A42" s="1">
        <v>40</v>
      </c>
      <c r="B42">
        <v>1722</v>
      </c>
      <c r="C42">
        <v>482.19184939828079</v>
      </c>
      <c r="D42">
        <v>506.82663984966388</v>
      </c>
      <c r="E42">
        <v>512.08966769695326</v>
      </c>
      <c r="F42">
        <v>251.93821137610439</v>
      </c>
      <c r="G42">
        <v>260.87414759283649</v>
      </c>
      <c r="H42">
        <v>238.06581136311041</v>
      </c>
      <c r="I42">
        <v>117.82271035174359</v>
      </c>
      <c r="J42">
        <v>116.2491425822469</v>
      </c>
      <c r="K42">
        <v>111.9970505683774</v>
      </c>
      <c r="L42">
        <v>46.038492523585518</v>
      </c>
      <c r="M42">
        <v>40.574650603181439</v>
      </c>
      <c r="N42">
        <v>45.674699356430622</v>
      </c>
      <c r="O42">
        <v>20.19857012518268</v>
      </c>
      <c r="P42">
        <v>19.08589224036432</v>
      </c>
      <c r="Q42">
        <v>19.677661684468209</v>
      </c>
      <c r="R42">
        <v>9.7951960691072681</v>
      </c>
      <c r="S42">
        <v>9.0420088643907341</v>
      </c>
      <c r="T42">
        <v>9.5309017021618203</v>
      </c>
      <c r="U42">
        <v>5.3437466146067063</v>
      </c>
      <c r="V42">
        <v>5.1621202651353704</v>
      </c>
      <c r="W42">
        <v>5.1712853127454714</v>
      </c>
    </row>
    <row r="43" spans="1:23" x14ac:dyDescent="0.35">
      <c r="A43" s="1">
        <v>41</v>
      </c>
      <c r="B43">
        <v>1764</v>
      </c>
      <c r="C43">
        <v>490.97995668018302</v>
      </c>
      <c r="D43">
        <v>515.35761982342262</v>
      </c>
      <c r="E43">
        <v>520.77207055105578</v>
      </c>
      <c r="F43">
        <v>255.4663715043603</v>
      </c>
      <c r="G43">
        <v>264.38336782446049</v>
      </c>
      <c r="H43">
        <v>241.18375600494809</v>
      </c>
      <c r="I43">
        <v>119.25950926382799</v>
      </c>
      <c r="J43">
        <v>117.5779944338551</v>
      </c>
      <c r="K43">
        <v>113.2262506791559</v>
      </c>
      <c r="L43">
        <v>46.56943248133463</v>
      </c>
      <c r="M43">
        <v>41.133371451982157</v>
      </c>
      <c r="N43">
        <v>46.203081298540361</v>
      </c>
      <c r="O43">
        <v>20.412683622643101</v>
      </c>
      <c r="P43">
        <v>19.32535889439313</v>
      </c>
      <c r="Q43">
        <v>19.891839592003912</v>
      </c>
      <c r="R43">
        <v>9.8681356098771236</v>
      </c>
      <c r="S43">
        <v>9.1903318435370931</v>
      </c>
      <c r="T43">
        <v>9.6171416456921683</v>
      </c>
      <c r="U43">
        <v>5.3805955096867448</v>
      </c>
      <c r="V43">
        <v>5.2724209273278584</v>
      </c>
      <c r="W43">
        <v>5.2277051745005796</v>
      </c>
    </row>
    <row r="44" spans="1:23" x14ac:dyDescent="0.35">
      <c r="A44" s="1">
        <v>42</v>
      </c>
      <c r="B44">
        <v>1806</v>
      </c>
      <c r="C44">
        <v>499.6544789992991</v>
      </c>
      <c r="D44">
        <v>525.15014697189906</v>
      </c>
      <c r="E44">
        <v>530.27788896381514</v>
      </c>
      <c r="F44">
        <v>258.744087929611</v>
      </c>
      <c r="G44">
        <v>267.81766241978761</v>
      </c>
      <c r="H44">
        <v>244.26252177169161</v>
      </c>
      <c r="I44">
        <v>120.6020815399222</v>
      </c>
      <c r="J44">
        <v>118.97472501066019</v>
      </c>
      <c r="K44">
        <v>114.49088183798651</v>
      </c>
      <c r="L44">
        <v>47.095865701271933</v>
      </c>
      <c r="M44">
        <v>41.726654522915801</v>
      </c>
      <c r="N44">
        <v>46.816682995794558</v>
      </c>
      <c r="O44">
        <v>20.697048281258471</v>
      </c>
      <c r="P44">
        <v>19.579036066377359</v>
      </c>
      <c r="Q44">
        <v>20.107892777166541</v>
      </c>
      <c r="R44">
        <v>9.9274802696499602</v>
      </c>
      <c r="S44">
        <v>9.3158143410856233</v>
      </c>
      <c r="T44">
        <v>9.7492846011976013</v>
      </c>
      <c r="U44">
        <v>5.4619870499046304</v>
      </c>
      <c r="V44">
        <v>5.3110375052391019</v>
      </c>
      <c r="W44">
        <v>5.3071848902657903</v>
      </c>
    </row>
    <row r="45" spans="1:23" x14ac:dyDescent="0.35">
      <c r="A45" s="1">
        <v>43</v>
      </c>
      <c r="B45">
        <v>1848</v>
      </c>
      <c r="C45">
        <v>506.89528434290969</v>
      </c>
      <c r="D45">
        <v>532.29161213226269</v>
      </c>
      <c r="E45">
        <v>538.02395632171715</v>
      </c>
      <c r="F45">
        <v>261.83766855070201</v>
      </c>
      <c r="G45">
        <v>270.88836313614712</v>
      </c>
      <c r="H45">
        <v>247.27604882414471</v>
      </c>
      <c r="I45">
        <v>121.7149355217353</v>
      </c>
      <c r="J45">
        <v>120.0404803195963</v>
      </c>
      <c r="K45">
        <v>115.6758805611728</v>
      </c>
      <c r="L45">
        <v>47.54275110636533</v>
      </c>
      <c r="M45">
        <v>42.101365579948968</v>
      </c>
      <c r="N45">
        <v>47.31026990960914</v>
      </c>
      <c r="O45">
        <v>20.955426665041191</v>
      </c>
      <c r="P45">
        <v>19.828636988467299</v>
      </c>
      <c r="Q45">
        <v>20.427455308631231</v>
      </c>
      <c r="R45">
        <v>10.059252386346349</v>
      </c>
      <c r="S45">
        <v>9.4271113275864487</v>
      </c>
      <c r="T45">
        <v>9.8632336923776158</v>
      </c>
      <c r="U45">
        <v>5.5087705642123881</v>
      </c>
      <c r="V45">
        <v>5.3531375020887069</v>
      </c>
      <c r="W45">
        <v>5.3287027785168739</v>
      </c>
    </row>
    <row r="46" spans="1:23" x14ac:dyDescent="0.35">
      <c r="A46" s="1">
        <v>44</v>
      </c>
      <c r="B46">
        <v>1890</v>
      </c>
      <c r="C46">
        <v>515.70638600222776</v>
      </c>
      <c r="D46">
        <v>541.26667931813449</v>
      </c>
      <c r="E46">
        <v>547.1174232275356</v>
      </c>
      <c r="F46">
        <v>265.05116486115219</v>
      </c>
      <c r="G46">
        <v>274.10764405161791</v>
      </c>
      <c r="H46">
        <v>250.21525427698421</v>
      </c>
      <c r="I46">
        <v>122.9782095807757</v>
      </c>
      <c r="J46">
        <v>121.1486124026766</v>
      </c>
      <c r="K46">
        <v>116.8749221941555</v>
      </c>
      <c r="L46">
        <v>48.037323531197607</v>
      </c>
      <c r="M46">
        <v>42.475456827750527</v>
      </c>
      <c r="N46">
        <v>47.771007604290553</v>
      </c>
      <c r="O46">
        <v>21.18964817862971</v>
      </c>
      <c r="P46">
        <v>20.014044446530828</v>
      </c>
      <c r="Q46">
        <v>20.626716150787729</v>
      </c>
      <c r="R46">
        <v>10.22751380669963</v>
      </c>
      <c r="S46">
        <v>9.5099936530144014</v>
      </c>
      <c r="T46">
        <v>10.028988803373659</v>
      </c>
      <c r="U46">
        <v>5.6080565372249644</v>
      </c>
      <c r="V46">
        <v>5.4308247305922102</v>
      </c>
      <c r="W46">
        <v>5.3821997063927247</v>
      </c>
    </row>
    <row r="47" spans="1:23" x14ac:dyDescent="0.35">
      <c r="A47" s="1">
        <v>45</v>
      </c>
      <c r="B47">
        <v>1932</v>
      </c>
      <c r="C47">
        <v>523.0240619229387</v>
      </c>
      <c r="D47">
        <v>549.49917833214363</v>
      </c>
      <c r="E47">
        <v>555.10714736947693</v>
      </c>
      <c r="F47">
        <v>267.79623851640707</v>
      </c>
      <c r="G47">
        <v>277.32158817316542</v>
      </c>
      <c r="H47">
        <v>253.11205613109081</v>
      </c>
      <c r="I47">
        <v>124.09829169395989</v>
      </c>
      <c r="J47">
        <v>122.3888002974947</v>
      </c>
      <c r="K47">
        <v>118.0290998012353</v>
      </c>
      <c r="L47">
        <v>48.521114835698569</v>
      </c>
      <c r="M47">
        <v>43.039183238519158</v>
      </c>
      <c r="N47">
        <v>48.247881123297653</v>
      </c>
      <c r="O47">
        <v>21.40653865028159</v>
      </c>
      <c r="P47">
        <v>20.22587323789698</v>
      </c>
      <c r="Q47">
        <v>20.854484830696681</v>
      </c>
      <c r="R47">
        <v>10.360990438984739</v>
      </c>
      <c r="S47">
        <v>9.6442954422906357</v>
      </c>
      <c r="T47">
        <v>10.112105115484139</v>
      </c>
      <c r="U47">
        <v>5.6424724131261641</v>
      </c>
      <c r="V47">
        <v>5.569165025681766</v>
      </c>
      <c r="W47">
        <v>5.5082037355941873</v>
      </c>
    </row>
    <row r="48" spans="1:23" x14ac:dyDescent="0.35">
      <c r="A48" s="1">
        <v>46</v>
      </c>
      <c r="B48">
        <v>1974</v>
      </c>
      <c r="C48">
        <v>530.11831737616205</v>
      </c>
      <c r="D48">
        <v>556.59851336991733</v>
      </c>
      <c r="E48">
        <v>563.03013982305697</v>
      </c>
      <c r="F48">
        <v>270.72469435962631</v>
      </c>
      <c r="G48">
        <v>280.14235216583182</v>
      </c>
      <c r="H48">
        <v>255.85219070372469</v>
      </c>
      <c r="I48">
        <v>125.2306098903691</v>
      </c>
      <c r="J48">
        <v>123.5429693377053</v>
      </c>
      <c r="K48">
        <v>119.2811256654519</v>
      </c>
      <c r="L48">
        <v>48.946129297680798</v>
      </c>
      <c r="M48">
        <v>43.458958513399637</v>
      </c>
      <c r="N48">
        <v>48.809290538546882</v>
      </c>
      <c r="O48">
        <v>21.503639412855438</v>
      </c>
      <c r="P48">
        <v>20.421039927642049</v>
      </c>
      <c r="Q48">
        <v>21.047512204389228</v>
      </c>
      <c r="R48">
        <v>10.439270900481739</v>
      </c>
      <c r="S48">
        <v>9.7349679663502382</v>
      </c>
      <c r="T48">
        <v>10.19756166559884</v>
      </c>
      <c r="U48">
        <v>5.7345060158005481</v>
      </c>
      <c r="V48">
        <v>5.5946311245977673</v>
      </c>
      <c r="W48">
        <v>5.5321761378294587</v>
      </c>
    </row>
    <row r="49" spans="1:23" x14ac:dyDescent="0.35">
      <c r="A49" s="1">
        <v>47</v>
      </c>
      <c r="B49">
        <v>2016</v>
      </c>
      <c r="C49">
        <v>536.44373041294375</v>
      </c>
      <c r="D49">
        <v>563.41010738204159</v>
      </c>
      <c r="E49">
        <v>569.71104828039961</v>
      </c>
      <c r="F49">
        <v>273.72200018275902</v>
      </c>
      <c r="G49">
        <v>283.27166609314861</v>
      </c>
      <c r="H49">
        <v>258.6770087358102</v>
      </c>
      <c r="I49">
        <v>126.65538155176201</v>
      </c>
      <c r="J49">
        <v>124.8594076667991</v>
      </c>
      <c r="K49">
        <v>120.49630432081661</v>
      </c>
      <c r="L49">
        <v>49.593723006045082</v>
      </c>
      <c r="M49">
        <v>43.968923811493298</v>
      </c>
      <c r="N49">
        <v>49.350459486349372</v>
      </c>
      <c r="O49">
        <v>21.81201986795428</v>
      </c>
      <c r="P49">
        <v>20.63473699478682</v>
      </c>
      <c r="Q49">
        <v>21.198506197427481</v>
      </c>
      <c r="R49">
        <v>10.569562257142501</v>
      </c>
      <c r="S49">
        <v>9.8040843888116207</v>
      </c>
      <c r="T49">
        <v>10.262380586760599</v>
      </c>
      <c r="U49">
        <v>5.7736680436761922</v>
      </c>
      <c r="V49">
        <v>5.6817235802415942</v>
      </c>
      <c r="W49">
        <v>5.5967121497073897</v>
      </c>
    </row>
    <row r="50" spans="1:23" x14ac:dyDescent="0.35">
      <c r="A50" s="1">
        <v>48</v>
      </c>
      <c r="B50">
        <v>2058</v>
      </c>
      <c r="C50">
        <v>544.16073499666118</v>
      </c>
      <c r="D50">
        <v>570.59885945411145</v>
      </c>
      <c r="E50">
        <v>577.00939575164989</v>
      </c>
      <c r="F50">
        <v>276.7234125545848</v>
      </c>
      <c r="G50">
        <v>286.12885376952931</v>
      </c>
      <c r="H50">
        <v>261.50661363709628</v>
      </c>
      <c r="I50">
        <v>127.7765755490819</v>
      </c>
      <c r="J50">
        <v>125.9837494719751</v>
      </c>
      <c r="K50">
        <v>121.5963912784038</v>
      </c>
      <c r="L50">
        <v>49.864642615361483</v>
      </c>
      <c r="M50">
        <v>44.304858082284618</v>
      </c>
      <c r="N50">
        <v>49.617480427748497</v>
      </c>
      <c r="O50">
        <v>22.04143950916923</v>
      </c>
      <c r="P50">
        <v>20.78482046105362</v>
      </c>
      <c r="Q50">
        <v>21.47055080896461</v>
      </c>
      <c r="R50">
        <v>10.6715097667715</v>
      </c>
      <c r="S50">
        <v>9.943941020465342</v>
      </c>
      <c r="T50">
        <v>10.42202834715307</v>
      </c>
      <c r="U50">
        <v>5.7964247854699238</v>
      </c>
      <c r="V50">
        <v>5.6242823940219431</v>
      </c>
      <c r="W50">
        <v>5.6541100577178529</v>
      </c>
    </row>
    <row r="51" spans="1:23" x14ac:dyDescent="0.35">
      <c r="A51" s="1">
        <v>49</v>
      </c>
      <c r="B51">
        <v>2100</v>
      </c>
      <c r="C51">
        <v>550.51106805344466</v>
      </c>
      <c r="D51">
        <v>577.76036522492916</v>
      </c>
      <c r="E51">
        <v>584.09469225993337</v>
      </c>
      <c r="F51">
        <v>279.18359610313132</v>
      </c>
      <c r="G51">
        <v>288.79892644626688</v>
      </c>
      <c r="H51">
        <v>263.96240025922742</v>
      </c>
      <c r="I51">
        <v>128.65420978765371</v>
      </c>
      <c r="J51">
        <v>127.0122796264167</v>
      </c>
      <c r="K51">
        <v>122.6380033414293</v>
      </c>
      <c r="L51">
        <v>50.284065588109073</v>
      </c>
      <c r="M51">
        <v>44.724794225150212</v>
      </c>
      <c r="N51">
        <v>50.182809036234687</v>
      </c>
      <c r="O51">
        <v>22.200248451638849</v>
      </c>
      <c r="P51">
        <v>21.00653894650841</v>
      </c>
      <c r="Q51">
        <v>21.62889095685701</v>
      </c>
      <c r="R51">
        <v>10.767207198349849</v>
      </c>
      <c r="S51">
        <v>10.01787635878615</v>
      </c>
      <c r="T51">
        <v>10.599944071979939</v>
      </c>
      <c r="U51">
        <v>5.8113724749551938</v>
      </c>
      <c r="V51">
        <v>5.7192833898453994</v>
      </c>
      <c r="W51">
        <v>5.6850070236967287</v>
      </c>
    </row>
    <row r="52" spans="1:23" x14ac:dyDescent="0.35">
      <c r="A52" s="1">
        <v>50</v>
      </c>
      <c r="B52">
        <v>2142</v>
      </c>
      <c r="C52">
        <v>556.42500920367149</v>
      </c>
      <c r="D52">
        <v>584.18917881201673</v>
      </c>
      <c r="E52">
        <v>591.17800608788582</v>
      </c>
      <c r="F52">
        <v>281.31106248154862</v>
      </c>
      <c r="G52">
        <v>291.03301569531789</v>
      </c>
      <c r="H52">
        <v>266.17773744655818</v>
      </c>
      <c r="I52">
        <v>129.76427890852949</v>
      </c>
      <c r="J52">
        <v>127.9034991776184</v>
      </c>
      <c r="K52">
        <v>123.6204364806718</v>
      </c>
      <c r="L52">
        <v>50.819575237786147</v>
      </c>
      <c r="M52">
        <v>45.263368233219232</v>
      </c>
      <c r="N52">
        <v>50.686841511682303</v>
      </c>
      <c r="O52">
        <v>22.36147121670837</v>
      </c>
      <c r="P52">
        <v>21.199815647959159</v>
      </c>
      <c r="Q52">
        <v>21.874419416749561</v>
      </c>
      <c r="R52">
        <v>10.84881143667552</v>
      </c>
      <c r="S52">
        <v>10.07315258888389</v>
      </c>
      <c r="T52">
        <v>10.549104648599929</v>
      </c>
      <c r="U52">
        <v>5.8687722665986746</v>
      </c>
      <c r="V52">
        <v>5.7793820171639672</v>
      </c>
      <c r="W52">
        <v>5.6545447841651191</v>
      </c>
    </row>
    <row r="54" spans="1:23" x14ac:dyDescent="0.35">
      <c r="A54" s="2" t="s">
        <v>22</v>
      </c>
      <c r="B54" s="3"/>
      <c r="C54">
        <v>900</v>
      </c>
      <c r="D54">
        <v>900</v>
      </c>
      <c r="E54">
        <v>900</v>
      </c>
      <c r="F54">
        <v>450</v>
      </c>
      <c r="G54">
        <v>450</v>
      </c>
      <c r="H54">
        <v>450</v>
      </c>
      <c r="I54">
        <v>225</v>
      </c>
      <c r="J54">
        <v>225</v>
      </c>
      <c r="K54">
        <v>225</v>
      </c>
      <c r="L54">
        <f>225/2</f>
        <v>112.5</v>
      </c>
      <c r="M54">
        <f t="shared" ref="M54:N54" si="0">225/2</f>
        <v>112.5</v>
      </c>
      <c r="N54">
        <f t="shared" si="0"/>
        <v>112.5</v>
      </c>
      <c r="O54">
        <f>225/4</f>
        <v>56.25</v>
      </c>
      <c r="P54">
        <f t="shared" ref="P54:Q54" si="1">225/4</f>
        <v>56.25</v>
      </c>
      <c r="Q54">
        <f t="shared" si="1"/>
        <v>56.25</v>
      </c>
      <c r="R54">
        <f>225/8</f>
        <v>28.125</v>
      </c>
      <c r="S54">
        <f t="shared" ref="S54:T54" si="2">225/8</f>
        <v>28.125</v>
      </c>
      <c r="T54">
        <f t="shared" si="2"/>
        <v>28.125</v>
      </c>
      <c r="U54">
        <f>28.125/2</f>
        <v>14.0625</v>
      </c>
      <c r="V54">
        <f t="shared" ref="V54:W54" si="3">28.125/2</f>
        <v>14.0625</v>
      </c>
      <c r="W54">
        <f t="shared" si="3"/>
        <v>14.0625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F5A1-1BE3-45D7-8189-6577D9E7DADE}">
  <dimension ref="A1"/>
  <sheetViews>
    <sheetView workbookViewId="0">
      <selection sqref="A1:W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Jiang</cp:lastModifiedBy>
  <dcterms:created xsi:type="dcterms:W3CDTF">2025-01-08T09:05:48Z</dcterms:created>
  <dcterms:modified xsi:type="dcterms:W3CDTF">2026-05-18T06:43:38Z</dcterms:modified>
</cp:coreProperties>
</file>